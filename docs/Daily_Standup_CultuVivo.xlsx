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crum\"/>
    </mc:Choice>
  </mc:AlternateContent>
  <xr:revisionPtr revIDLastSave="0" documentId="13_ncr:1_{76265B6C-BE6C-47BD-B1CF-52A002733A75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_lists" sheetId="1" state="hidden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Resum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7" l="1"/>
  <c r="B7" i="7"/>
  <c r="C6" i="7"/>
  <c r="B6" i="7"/>
  <c r="C5" i="7"/>
  <c r="B5" i="7"/>
  <c r="C4" i="7"/>
  <c r="B4" i="7"/>
  <c r="C3" i="7"/>
  <c r="B3" i="7"/>
  <c r="E102" i="6"/>
  <c r="E102" i="5"/>
  <c r="E102" i="4"/>
  <c r="E102" i="3"/>
  <c r="E101" i="2"/>
  <c r="C8" i="7" l="1"/>
  <c r="B8" i="7"/>
</calcChain>
</file>

<file path=xl/sharedStrings.xml><?xml version="1.0" encoding="utf-8"?>
<sst xmlns="http://schemas.openxmlformats.org/spreadsheetml/2006/main" count="177" uniqueCount="86">
  <si>
    <t>Scrum Master</t>
  </si>
  <si>
    <t>Backend</t>
  </si>
  <si>
    <t>Frontend</t>
  </si>
  <si>
    <t>BD/DBA</t>
  </si>
  <si>
    <t>QA/Testing</t>
  </si>
  <si>
    <t>PO (observador)</t>
  </si>
  <si>
    <t>Integrante</t>
  </si>
  <si>
    <t>Rol</t>
  </si>
  <si>
    <t>Qué hice ayer</t>
  </si>
  <si>
    <t>Qué haré hoy</t>
  </si>
  <si>
    <t>Obstáculos</t>
  </si>
  <si>
    <t>Observaciones del Scrum Master</t>
  </si>
  <si>
    <t>Total de OBSTÁCULOS del día:</t>
  </si>
  <si>
    <t>Resumen Diario de Dailies – CultuVivo</t>
  </si>
  <si>
    <t>Día</t>
  </si>
  <si>
    <t>Entradas registradas</t>
  </si>
  <si>
    <t>Obstáculos reportados</t>
  </si>
  <si>
    <t>Observaciones</t>
  </si>
  <si>
    <t>Día 1</t>
  </si>
  <si>
    <t>Día 2</t>
  </si>
  <si>
    <t>Día 3</t>
  </si>
  <si>
    <t>Día 4</t>
  </si>
  <si>
    <t>Día 5</t>
  </si>
  <si>
    <t>TOTAL</t>
  </si>
  <si>
    <t>Brayan Espinosa Osorio</t>
  </si>
  <si>
    <t>Andrés Santiago Gomez Rojas</t>
  </si>
  <si>
    <t>Shirly Katherinn Leal Nieves</t>
  </si>
  <si>
    <t>Desarrollador</t>
  </si>
  <si>
    <t>Luis Hernan Gonzalez Ordoñez</t>
  </si>
  <si>
    <t>Nada</t>
  </si>
  <si>
    <t>Generé el product backlog, el sprint backlog y el repositorio del proyecto.</t>
  </si>
  <si>
    <t>No asigné tareas a desarrollar el día anterior en espera de aprobación del spring backlog por PO.</t>
  </si>
  <si>
    <t>Dependencia del módulo de gestión de eventos culturales.</t>
  </si>
  <si>
    <t>Definir la estructura del archivo json para persistencia.
Iniciar la implementación del sistema de registro de asistentes a eventos.</t>
  </si>
  <si>
    <t>Definir la estructura del archivo json para persistencia.
Inicio el desarrollo del listado dinámico de eventos disponibles.</t>
  </si>
  <si>
    <t>Definir la estructura del archivo json para persistencia.
Desarrollar el módulo de gestión de eventos culturales.</t>
  </si>
  <si>
    <t>Generación del acta de sprint planing
Generación del fomarto del Daily Stand up</t>
  </si>
  <si>
    <t>Riesgo de errores en el codigo por entrega acelerada del modulo por su prioridad en el desarrollo.</t>
  </si>
  <si>
    <t>Poca expertisia en desarrollo de esta documentación.</t>
  </si>
  <si>
    <t>Necesidad de aprendizaje sobre la marcha en el ejercicio del rol de scrum master.</t>
  </si>
  <si>
    <t>Definí la estructura del archivo json para persistencia.
Inicié el desarrollo del listado dinámico de eventos disponibles.</t>
  </si>
  <si>
    <t>Definí la estructura del archivo json para persistencia.
Inicié la implementación del sistema de registro de asistentes a eventos.</t>
  </si>
  <si>
    <t>Definí la estructura del archivo json para persistencia.
Desarrollé el módulo de gestión de eventos culturales.</t>
  </si>
  <si>
    <t>Generé del acta de sprint planing.
Generé del fomarto del Daily Stand up.</t>
  </si>
  <si>
    <t>Generaré el Scrum board.</t>
  </si>
  <si>
    <t>Desarrollaré del módulo de administración de artistas.</t>
  </si>
  <si>
    <t>Implementaré del sistema de registro de asistentes a eventos.</t>
  </si>
  <si>
    <t>Desarrollaré del listado dinámico de eventos disponibles.</t>
  </si>
  <si>
    <t>Errores en el uso de un Json único compartido.</t>
  </si>
  <si>
    <t>Trabajo colaborativo notable.</t>
  </si>
  <si>
    <t>Proactividad en la ejecución de las tareas.</t>
  </si>
  <si>
    <t xml:space="preserve">Liderazgo en el equipo de desarrollo.
</t>
  </si>
  <si>
    <t>Avancé en el desarrollo del listado dinámico de eventos disponibles.</t>
  </si>
  <si>
    <t>Avancé en la implementación del sistema de registro de asistentes a eventos.</t>
  </si>
  <si>
    <t>Solucionaré los conflictos del módulo de gestión de eventos culturales.</t>
  </si>
  <si>
    <t>Continuaré en el desarrollo del listado dinámico de eventos disponibles.</t>
  </si>
  <si>
    <t>Continuaré en la implementación del sistema de registro de asistentes a eventos.</t>
  </si>
  <si>
    <t>Generé el Scrum board.</t>
  </si>
  <si>
    <t>Generaré de nuevo el repositorio por errores míos en la generación de las ramas y conflictos en los push de los desarrolladores.</t>
  </si>
  <si>
    <t>Repositorio con conflictos.
Dependencia del módulo de gestión de eventos culturales.</t>
  </si>
  <si>
    <t>Repositorio con conflictos.
Tener que desarrollar de forma acelerada debido a la  prioridad de su modulo.</t>
  </si>
  <si>
    <t xml:space="preserve">Proactividad, resolución de conflictos y liderazgo del equipo de desarrollo.
</t>
  </si>
  <si>
    <t>Proactividad y constancia en el desarrollo de su tarea asignada.</t>
  </si>
  <si>
    <t>Trabajo colaborativo notable y genera soluciones a los conflictos encontrados.</t>
  </si>
  <si>
    <t>Desarrollé del listado dinámico de eventos disponibles.</t>
  </si>
  <si>
    <t>Implementé el sistema de registro de asistentes a eventos.</t>
  </si>
  <si>
    <t>Solucioné los conflictos del módulo de gestión de eventos culturales.</t>
  </si>
  <si>
    <t>Validaré la implementación del sistema de registro de asistentes a eventos.</t>
  </si>
  <si>
    <t>Validaré el desarrollo del listado dinámico de eventos disponibles.</t>
  </si>
  <si>
    <t>Generé de nuevo el repositorio por errores míos en la generación de las ramas y conflictos en los push de los desarrolladores.</t>
  </si>
  <si>
    <t>Generaré el acta de ceremonias del sprint
Generaré el sprint report</t>
  </si>
  <si>
    <t>Desarrollé el módulo de administración de artistas.</t>
  </si>
  <si>
    <t>Implementaré el módulo de asignación de artistas a eventos</t>
  </si>
  <si>
    <t>Implementé el módulo de asignación de artistas a eventos</t>
  </si>
  <si>
    <t>Validé el desarrollo del listado dinámico de eventos disponibles.</t>
  </si>
  <si>
    <t>Validé la implementación del sistema de registro de asistentes a eventos.</t>
  </si>
  <si>
    <t>Validaré el programa completo.</t>
  </si>
  <si>
    <t>Validaré el programa completo.
Generaré el video demostrativo de la funcionalidad del programa.</t>
  </si>
  <si>
    <t xml:space="preserve">Eficiencia notable en el desarrollo de las tareas asignadas
</t>
  </si>
  <si>
    <t xml:space="preserve">Eficacia en el desarrollo de sus tareas.
</t>
  </si>
  <si>
    <t>Posibles conflictos no esperados.</t>
  </si>
  <si>
    <t>Ninguna.</t>
  </si>
  <si>
    <t>Notable resolucion en las conflictos del codigo por parte de los desarrolladores.</t>
  </si>
  <si>
    <t>Error mío al no asignar tareas por espera de aprobación del spring backlog.</t>
  </si>
  <si>
    <t>El uso de un json compartido unico generó retrasos en el desarrollo.</t>
  </si>
  <si>
    <t>Error mío en la generación del repositorio y sus ramas, creando conflictos en los push de los desarrolladores.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</si>
</sst>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40"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7F6"/>
          <bgColor rgb="FFEDE7F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7F6"/>
          <bgColor rgb="FFEDE7F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7F6"/>
          <bgColor rgb="FFEDE7F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DE7F6"/>
          <bgColor rgb="FFEDE7F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pane ySplit="1" topLeftCell="A2" activePane="bottomLeft" state="frozen"/>
      <selection pane="bottomLeft" activeCell="F4" sqref="F4"/>
    </sheetView>
  </sheetViews>
  <sheetFormatPr baseColWidth="10" defaultColWidth="8.85546875" defaultRowHeight="15" x14ac:dyDescent="0.25"/>
  <cols>
    <col min="1" max="1" width="22" customWidth="1"/>
    <col min="2" max="2" width="18" customWidth="1"/>
    <col min="3" max="4" width="36" customWidth="1"/>
    <col min="5" max="5" width="26" customWidth="1"/>
    <col min="6" max="6" width="30" customWidth="1"/>
  </cols>
  <sheetData>
    <row r="1" spans="1: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60" x14ac:dyDescent="0.25">
      <c r="A2" s="2" t="s">
        <v>25</v>
      </c>
      <c r="B2" s="2" t="s">
        <v>27</v>
      </c>
      <c r="C2" s="2" t="s">
        <v>29</v>
      </c>
      <c r="D2" s="2" t="s">
        <v>34</v>
      </c>
      <c r="E2" s="2" t="s">
        <v>32</v>
      </c>
      <c r="F2" s="2" t="s">
        <v>31</v>
      </c>
    </row>
    <row r="3" spans="1:6" ht="60" x14ac:dyDescent="0.25">
      <c r="A3" s="2" t="s">
        <v>26</v>
      </c>
      <c r="B3" s="2" t="s">
        <v>27</v>
      </c>
      <c r="C3" s="2" t="s">
        <v>29</v>
      </c>
      <c r="D3" s="2" t="s">
        <v>33</v>
      </c>
      <c r="E3" s="2" t="s">
        <v>32</v>
      </c>
      <c r="F3" s="2" t="s">
        <v>31</v>
      </c>
    </row>
    <row r="4" spans="1:6" ht="75" x14ac:dyDescent="0.25">
      <c r="A4" s="2" t="s">
        <v>24</v>
      </c>
      <c r="B4" s="2" t="s">
        <v>27</v>
      </c>
      <c r="C4" s="2" t="s">
        <v>29</v>
      </c>
      <c r="D4" s="2" t="s">
        <v>35</v>
      </c>
      <c r="E4" s="2" t="s">
        <v>37</v>
      </c>
      <c r="F4" s="2" t="s">
        <v>31</v>
      </c>
    </row>
    <row r="5" spans="1:6" ht="45" x14ac:dyDescent="0.25">
      <c r="A5" s="2" t="s">
        <v>28</v>
      </c>
      <c r="B5" s="2" t="s">
        <v>0</v>
      </c>
      <c r="C5" s="2" t="s">
        <v>30</v>
      </c>
      <c r="D5" s="2" t="s">
        <v>36</v>
      </c>
      <c r="E5" s="2" t="s">
        <v>38</v>
      </c>
      <c r="F5" s="2" t="s">
        <v>39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1" spans="1:6" x14ac:dyDescent="0.25">
      <c r="D101" s="3" t="s">
        <v>12</v>
      </c>
      <c r="E101" s="3">
        <f>COUNTA(E2:E99)</f>
        <v>4</v>
      </c>
    </row>
  </sheetData>
  <conditionalFormatting sqref="B2:B99">
    <cfRule type="expression" dxfId="39" priority="2">
      <formula>$B2="Scrum Master"</formula>
    </cfRule>
    <cfRule type="expression" dxfId="38" priority="3">
      <formula>$B2="Desarrollador"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100-000000000000}">
          <x14:formula1>
            <xm:f>_lists!$A$1:$A$6</xm:f>
          </x14:formula1>
          <xm:sqref>B6:B99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"/>
  <sheetViews>
    <sheetView workbookViewId="0">
      <pane ySplit="1" topLeftCell="A2" activePane="bottomLeft" state="frozen"/>
      <selection pane="bottomLeft" activeCell="D5" sqref="D5"/>
    </sheetView>
  </sheetViews>
  <sheetFormatPr baseColWidth="10" defaultColWidth="8.85546875" defaultRowHeight="15" x14ac:dyDescent="0.25"/>
  <cols>
    <col min="1" max="1" width="22" customWidth="1"/>
    <col min="2" max="2" width="18" customWidth="1"/>
    <col min="3" max="4" width="36" customWidth="1"/>
    <col min="5" max="5" width="26" customWidth="1"/>
    <col min="6" max="6" width="30" customWidth="1"/>
  </cols>
  <sheetData>
    <row r="1" spans="1: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60" x14ac:dyDescent="0.25">
      <c r="A2" s="2" t="s">
        <v>25</v>
      </c>
      <c r="B2" s="2" t="s">
        <v>27</v>
      </c>
      <c r="C2" s="2" t="s">
        <v>40</v>
      </c>
      <c r="D2" s="2" t="s">
        <v>47</v>
      </c>
      <c r="E2" s="2" t="s">
        <v>48</v>
      </c>
      <c r="F2" s="2" t="s">
        <v>49</v>
      </c>
    </row>
    <row r="3" spans="1:6" ht="60" x14ac:dyDescent="0.25">
      <c r="A3" s="2" t="s">
        <v>26</v>
      </c>
      <c r="B3" s="2" t="s">
        <v>27</v>
      </c>
      <c r="C3" s="2" t="s">
        <v>41</v>
      </c>
      <c r="D3" s="2" t="s">
        <v>46</v>
      </c>
      <c r="E3" s="2" t="s">
        <v>48</v>
      </c>
      <c r="F3" s="2" t="s">
        <v>50</v>
      </c>
    </row>
    <row r="4" spans="1:6" ht="60" x14ac:dyDescent="0.25">
      <c r="A4" s="2" t="s">
        <v>24</v>
      </c>
      <c r="B4" s="2" t="s">
        <v>27</v>
      </c>
      <c r="C4" s="2" t="s">
        <v>42</v>
      </c>
      <c r="D4" s="2" t="s">
        <v>45</v>
      </c>
      <c r="E4" s="2" t="s">
        <v>48</v>
      </c>
      <c r="F4" s="2" t="s">
        <v>51</v>
      </c>
    </row>
    <row r="5" spans="1:6" ht="45" x14ac:dyDescent="0.25">
      <c r="A5" s="2" t="s">
        <v>28</v>
      </c>
      <c r="B5" s="2" t="s">
        <v>0</v>
      </c>
      <c r="C5" s="2" t="s">
        <v>43</v>
      </c>
      <c r="D5" s="2" t="s">
        <v>44</v>
      </c>
      <c r="E5" s="2" t="s">
        <v>38</v>
      </c>
      <c r="F5" s="2" t="s">
        <v>39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2" spans="1:6" x14ac:dyDescent="0.25">
      <c r="D102" s="3" t="s">
        <v>12</v>
      </c>
      <c r="E102" s="3">
        <f>COUNTA(E2:E100)</f>
        <v>4</v>
      </c>
    </row>
  </sheetData>
  <conditionalFormatting sqref="A6:F100">
    <cfRule type="expression" dxfId="37" priority="3">
      <formula>LEN($E6)&gt;0</formula>
    </cfRule>
  </conditionalFormatting>
  <conditionalFormatting sqref="B6:B100">
    <cfRule type="expression" dxfId="36" priority="4">
      <formula>$B6="Scrum Master"</formula>
    </cfRule>
    <cfRule type="expression" dxfId="35" priority="5">
      <formula>$B6="Backend"</formula>
    </cfRule>
    <cfRule type="expression" dxfId="34" priority="6">
      <formula>$B6="Frontend"</formula>
    </cfRule>
    <cfRule type="expression" dxfId="33" priority="7">
      <formula>$B6="BD/DBA"</formula>
    </cfRule>
    <cfRule type="expression" dxfId="32" priority="8">
      <formula>$B6="QA/Testing"</formula>
    </cfRule>
    <cfRule type="expression" dxfId="31" priority="9">
      <formula>$B6="PO (observador)"</formula>
    </cfRule>
  </conditionalFormatting>
  <conditionalFormatting sqref="B2:B5">
    <cfRule type="expression" dxfId="30" priority="1">
      <formula>$B2="Scrum Master"</formula>
    </cfRule>
    <cfRule type="expression" dxfId="29" priority="2">
      <formula>$B2="Desarrollador"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200-000000000000}">
          <x14:formula1>
            <xm:f>_lists!$A$1:$A$6</xm:f>
          </x14:formula1>
          <xm:sqref>B6:B100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2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8.85546875" defaultRowHeight="15" x14ac:dyDescent="0.25"/>
  <cols>
    <col min="1" max="1" width="22" customWidth="1"/>
    <col min="2" max="2" width="18" customWidth="1"/>
    <col min="3" max="4" width="36" customWidth="1"/>
    <col min="5" max="5" width="26" customWidth="1"/>
    <col min="6" max="6" width="30" customWidth="1"/>
  </cols>
  <sheetData>
    <row r="1" spans="1: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60" x14ac:dyDescent="0.25">
      <c r="A2" s="2" t="s">
        <v>25</v>
      </c>
      <c r="B2" s="2" t="s">
        <v>27</v>
      </c>
      <c r="C2" s="2" t="s">
        <v>52</v>
      </c>
      <c r="D2" s="2" t="s">
        <v>55</v>
      </c>
      <c r="E2" s="2" t="s">
        <v>59</v>
      </c>
      <c r="F2" s="2" t="s">
        <v>63</v>
      </c>
    </row>
    <row r="3" spans="1:6" ht="60" x14ac:dyDescent="0.25">
      <c r="A3" s="2" t="s">
        <v>26</v>
      </c>
      <c r="B3" s="2" t="s">
        <v>27</v>
      </c>
      <c r="C3" s="2" t="s">
        <v>53</v>
      </c>
      <c r="D3" s="2" t="s">
        <v>56</v>
      </c>
      <c r="E3" s="2" t="s">
        <v>59</v>
      </c>
      <c r="F3" s="2" t="s">
        <v>62</v>
      </c>
    </row>
    <row r="4" spans="1:6" ht="60" x14ac:dyDescent="0.25">
      <c r="A4" s="2" t="s">
        <v>24</v>
      </c>
      <c r="B4" s="2" t="s">
        <v>27</v>
      </c>
      <c r="C4" s="2" t="s">
        <v>71</v>
      </c>
      <c r="D4" s="2" t="s">
        <v>54</v>
      </c>
      <c r="E4" s="2" t="s">
        <v>60</v>
      </c>
      <c r="F4" s="2" t="s">
        <v>61</v>
      </c>
    </row>
    <row r="5" spans="1:6" ht="60" x14ac:dyDescent="0.25">
      <c r="A5" s="2" t="s">
        <v>28</v>
      </c>
      <c r="B5" s="2" t="s">
        <v>0</v>
      </c>
      <c r="C5" s="2" t="s">
        <v>57</v>
      </c>
      <c r="D5" s="2" t="s">
        <v>58</v>
      </c>
      <c r="E5" s="2" t="s">
        <v>38</v>
      </c>
      <c r="F5" s="2" t="s">
        <v>39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2" spans="1:6" x14ac:dyDescent="0.25">
      <c r="D102" s="3" t="s">
        <v>12</v>
      </c>
      <c r="E102" s="3">
        <f>COUNTA(E2:E100)</f>
        <v>4</v>
      </c>
    </row>
  </sheetData>
  <conditionalFormatting sqref="A6:F100">
    <cfRule type="expression" dxfId="28" priority="3">
      <formula>LEN($E6)&gt;0</formula>
    </cfRule>
  </conditionalFormatting>
  <conditionalFormatting sqref="B6:B100">
    <cfRule type="expression" dxfId="27" priority="4">
      <formula>$B6="Scrum Master"</formula>
    </cfRule>
    <cfRule type="expression" dxfId="26" priority="5">
      <formula>$B6="Backend"</formula>
    </cfRule>
    <cfRule type="expression" dxfId="25" priority="6">
      <formula>$B6="Frontend"</formula>
    </cfRule>
    <cfRule type="expression" dxfId="24" priority="7">
      <formula>$B6="BD/DBA"</formula>
    </cfRule>
    <cfRule type="expression" dxfId="23" priority="8">
      <formula>$B6="QA/Testing"</formula>
    </cfRule>
    <cfRule type="expression" dxfId="22" priority="9">
      <formula>$B6="PO (observador)"</formula>
    </cfRule>
  </conditionalFormatting>
  <conditionalFormatting sqref="B2:B5">
    <cfRule type="expression" dxfId="7" priority="1">
      <formula>$B2="Scrum Master"</formula>
    </cfRule>
    <cfRule type="expression" dxfId="6" priority="2">
      <formula>$B2="Desarrollador"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300-000000000000}">
          <x14:formula1>
            <xm:f>_lists!$A$1:$A$6</xm:f>
          </x14:formula1>
          <xm:sqref>B6:B100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2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5546875" defaultRowHeight="15" x14ac:dyDescent="0.25"/>
  <cols>
    <col min="1" max="1" width="22" customWidth="1"/>
    <col min="2" max="2" width="18" customWidth="1"/>
    <col min="3" max="4" width="36" customWidth="1"/>
    <col min="5" max="5" width="26" customWidth="1"/>
    <col min="6" max="6" width="30" customWidth="1"/>
  </cols>
  <sheetData>
    <row r="1" spans="1: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60" x14ac:dyDescent="0.25">
      <c r="A2" s="2" t="s">
        <v>25</v>
      </c>
      <c r="B2" s="2" t="s">
        <v>27</v>
      </c>
      <c r="C2" s="2" t="s">
        <v>64</v>
      </c>
      <c r="D2" s="2" t="s">
        <v>68</v>
      </c>
      <c r="E2" s="2" t="s">
        <v>59</v>
      </c>
      <c r="F2" s="2" t="s">
        <v>79</v>
      </c>
    </row>
    <row r="3" spans="1:6" ht="60" x14ac:dyDescent="0.25">
      <c r="A3" s="2" t="s">
        <v>26</v>
      </c>
      <c r="B3" s="2" t="s">
        <v>27</v>
      </c>
      <c r="C3" s="2" t="s">
        <v>65</v>
      </c>
      <c r="D3" s="2" t="s">
        <v>67</v>
      </c>
      <c r="E3" s="2" t="s">
        <v>59</v>
      </c>
      <c r="F3" s="2" t="s">
        <v>79</v>
      </c>
    </row>
    <row r="4" spans="1:6" ht="60" x14ac:dyDescent="0.25">
      <c r="A4" s="2" t="s">
        <v>24</v>
      </c>
      <c r="B4" s="2" t="s">
        <v>27</v>
      </c>
      <c r="C4" s="2" t="s">
        <v>66</v>
      </c>
      <c r="D4" s="2" t="s">
        <v>72</v>
      </c>
      <c r="E4" s="2" t="s">
        <v>60</v>
      </c>
      <c r="F4" s="2" t="s">
        <v>78</v>
      </c>
    </row>
    <row r="5" spans="1:6" ht="60" x14ac:dyDescent="0.25">
      <c r="A5" s="2" t="s">
        <v>28</v>
      </c>
      <c r="B5" s="2" t="s">
        <v>0</v>
      </c>
      <c r="C5" s="2" t="s">
        <v>69</v>
      </c>
      <c r="D5" s="2" t="s">
        <v>70</v>
      </c>
      <c r="E5" s="2" t="s">
        <v>38</v>
      </c>
      <c r="F5" s="2" t="s">
        <v>39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2" spans="1:6" x14ac:dyDescent="0.25">
      <c r="D102" s="3" t="s">
        <v>12</v>
      </c>
      <c r="E102" s="3">
        <f>COUNTA(E2:E100)</f>
        <v>4</v>
      </c>
    </row>
  </sheetData>
  <conditionalFormatting sqref="A6:F100">
    <cfRule type="expression" dxfId="21" priority="3">
      <formula>LEN($E6)&gt;0</formula>
    </cfRule>
  </conditionalFormatting>
  <conditionalFormatting sqref="B6:B100">
    <cfRule type="expression" dxfId="20" priority="4">
      <formula>$B6="Scrum Master"</formula>
    </cfRule>
    <cfRule type="expression" dxfId="19" priority="5">
      <formula>$B6="Backend"</formula>
    </cfRule>
    <cfRule type="expression" dxfId="18" priority="6">
      <formula>$B6="Frontend"</formula>
    </cfRule>
    <cfRule type="expression" dxfId="17" priority="7">
      <formula>$B6="BD/DBA"</formula>
    </cfRule>
    <cfRule type="expression" dxfId="16" priority="8">
      <formula>$B6="QA/Testing"</formula>
    </cfRule>
    <cfRule type="expression" dxfId="15" priority="9">
      <formula>$B6="PO (observador)"</formula>
    </cfRule>
  </conditionalFormatting>
  <conditionalFormatting sqref="B2:B5">
    <cfRule type="expression" dxfId="5" priority="1">
      <formula>$B2="Scrum Master"</formula>
    </cfRule>
    <cfRule type="expression" dxfId="4" priority="2">
      <formula>$B2="Desarrollador"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400-000000000000}">
          <x14:formula1>
            <xm:f>_lists!$A$1:$A$6</xm:f>
          </x14:formula1>
          <xm:sqref>B6:B100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2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5546875" defaultRowHeight="15" x14ac:dyDescent="0.25"/>
  <cols>
    <col min="1" max="1" width="22" customWidth="1"/>
    <col min="2" max="2" width="18" customWidth="1"/>
    <col min="3" max="4" width="36" customWidth="1"/>
    <col min="5" max="5" width="26" customWidth="1"/>
    <col min="6" max="6" width="30" customWidth="1"/>
  </cols>
  <sheetData>
    <row r="1" spans="1:6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ht="30" x14ac:dyDescent="0.25">
      <c r="A2" s="2" t="s">
        <v>25</v>
      </c>
      <c r="B2" s="2" t="s">
        <v>27</v>
      </c>
      <c r="C2" s="2" t="s">
        <v>74</v>
      </c>
      <c r="D2" s="2" t="s">
        <v>76</v>
      </c>
      <c r="E2" s="2" t="s">
        <v>80</v>
      </c>
      <c r="F2" s="2" t="s">
        <v>81</v>
      </c>
    </row>
    <row r="3" spans="1:6" ht="30" x14ac:dyDescent="0.25">
      <c r="A3" s="2" t="s">
        <v>26</v>
      </c>
      <c r="B3" s="2" t="s">
        <v>27</v>
      </c>
      <c r="C3" s="2" t="s">
        <v>75</v>
      </c>
      <c r="D3" s="2" t="s">
        <v>76</v>
      </c>
      <c r="E3" s="2" t="s">
        <v>80</v>
      </c>
      <c r="F3" s="2" t="s">
        <v>81</v>
      </c>
    </row>
    <row r="4" spans="1:6" ht="30" x14ac:dyDescent="0.25">
      <c r="A4" s="2" t="s">
        <v>24</v>
      </c>
      <c r="B4" s="2" t="s">
        <v>27</v>
      </c>
      <c r="C4" s="2" t="s">
        <v>73</v>
      </c>
      <c r="D4" s="2" t="s">
        <v>76</v>
      </c>
      <c r="E4" s="2" t="s">
        <v>80</v>
      </c>
      <c r="F4" s="2" t="s">
        <v>81</v>
      </c>
    </row>
    <row r="5" spans="1:6" ht="60" x14ac:dyDescent="0.25">
      <c r="A5" s="2" t="s">
        <v>28</v>
      </c>
      <c r="B5" s="2" t="s">
        <v>0</v>
      </c>
      <c r="C5" s="2" t="s">
        <v>69</v>
      </c>
      <c r="D5" s="2" t="s">
        <v>77</v>
      </c>
      <c r="E5" s="2" t="s">
        <v>38</v>
      </c>
      <c r="F5" s="2" t="s">
        <v>39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2" spans="1:6" x14ac:dyDescent="0.25">
      <c r="D102" s="3" t="s">
        <v>12</v>
      </c>
      <c r="E102" s="3">
        <f>COUNTA(E2:E100)</f>
        <v>4</v>
      </c>
    </row>
  </sheetData>
  <conditionalFormatting sqref="A6:F100">
    <cfRule type="expression" dxfId="14" priority="5">
      <formula>LEN($E6)&gt;0</formula>
    </cfRule>
  </conditionalFormatting>
  <conditionalFormatting sqref="B6:B100">
    <cfRule type="expression" dxfId="13" priority="6">
      <formula>$B6="Scrum Master"</formula>
    </cfRule>
    <cfRule type="expression" dxfId="12" priority="7">
      <formula>$B6="Backend"</formula>
    </cfRule>
    <cfRule type="expression" dxfId="11" priority="8">
      <formula>$B6="Frontend"</formula>
    </cfRule>
    <cfRule type="expression" dxfId="10" priority="9">
      <formula>$B6="BD/DBA"</formula>
    </cfRule>
    <cfRule type="expression" dxfId="9" priority="10">
      <formula>$B6="QA/Testing"</formula>
    </cfRule>
    <cfRule type="expression" dxfId="8" priority="11">
      <formula>$B6="PO (observador)"</formula>
    </cfRule>
  </conditionalFormatting>
  <conditionalFormatting sqref="B2:B5">
    <cfRule type="expression" dxfId="1" priority="1">
      <formula>$B2="Scrum Master"</formula>
    </cfRule>
    <cfRule type="expression" dxfId="0" priority="2">
      <formula>$B2="Desarrollador"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showInputMessage="1" showErrorMessage="1" xr:uid="{00000000-0002-0000-0500-000000000000}">
          <x14:formula1>
            <xm:f>_lists!$A$1:$A$6</xm:f>
          </x14:formula1>
          <xm:sqref>B6:B100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D7" sqref="D7"/>
    </sheetView>
  </sheetViews>
  <sheetFormatPr baseColWidth="10" defaultColWidth="8.85546875" defaultRowHeight="15" x14ac:dyDescent="0.25"/>
  <cols>
    <col min="1" max="1" width="12" customWidth="1"/>
    <col min="2" max="2" width="23" customWidth="1"/>
    <col min="3" max="3" width="24" customWidth="1"/>
    <col min="4" max="4" width="97.85546875" bestFit="1" customWidth="1"/>
  </cols>
  <sheetData>
    <row r="1" spans="1:4" ht="18.75" x14ac:dyDescent="0.3">
      <c r="A1" s="5" t="s">
        <v>13</v>
      </c>
      <c r="B1" s="6"/>
      <c r="C1" s="6"/>
      <c r="D1" s="6"/>
    </row>
    <row r="2" spans="1:4" x14ac:dyDescent="0.25">
      <c r="A2" s="4" t="s">
        <v>14</v>
      </c>
      <c r="B2" s="4" t="s">
        <v>15</v>
      </c>
      <c r="C2" s="4" t="s">
        <v>16</v>
      </c>
      <c r="D2" s="4" t="s">
        <v>17</v>
      </c>
    </row>
    <row r="3" spans="1:4" x14ac:dyDescent="0.25">
      <c r="A3" t="s">
        <v>18</v>
      </c>
      <c r="B3">
        <f>COUNTA('Día 1'!A2:A99)</f>
        <v>4</v>
      </c>
      <c r="C3">
        <f>COUNTA('Día 1'!E2:E99)</f>
        <v>4</v>
      </c>
      <c r="D3" t="s">
        <v>83</v>
      </c>
    </row>
    <row r="4" spans="1:4" x14ac:dyDescent="0.25">
      <c r="A4" t="s">
        <v>19</v>
      </c>
      <c r="B4">
        <f>COUNTA('Día 2'!A2:A100)</f>
        <v>4</v>
      </c>
      <c r="C4">
        <f>COUNTA('Día 2'!E2:E100)</f>
        <v>4</v>
      </c>
      <c r="D4" t="s">
        <v>84</v>
      </c>
    </row>
    <row r="5" spans="1:4" x14ac:dyDescent="0.25">
      <c r="A5" t="s">
        <v>20</v>
      </c>
      <c r="B5">
        <f>COUNTA('Día 3'!A2:A100)</f>
        <v>4</v>
      </c>
      <c r="C5">
        <f>COUNTA('Día 3'!E2:E100)</f>
        <v>4</v>
      </c>
      <c r="D5" t="s">
        <v>85</v>
      </c>
    </row>
    <row r="6" spans="1:4" x14ac:dyDescent="0.25">
      <c r="A6" t="s">
        <v>21</v>
      </c>
      <c r="B6">
        <f>COUNTA('Día 4'!A2:A100)</f>
        <v>4</v>
      </c>
      <c r="C6">
        <f>COUNTA('Día 4'!E2:E100)</f>
        <v>4</v>
      </c>
      <c r="D6" t="s">
        <v>82</v>
      </c>
    </row>
    <row r="7" spans="1:4" x14ac:dyDescent="0.25">
      <c r="A7" t="s">
        <v>22</v>
      </c>
      <c r="B7">
        <f>COUNTA('Día 5'!A2:A100)</f>
        <v>4</v>
      </c>
      <c r="C7">
        <f>COUNTA('Día 5'!E2:E100)</f>
        <v>4</v>
      </c>
      <c r="D7" t="s">
        <v>81</v>
      </c>
    </row>
    <row r="8" spans="1:4" x14ac:dyDescent="0.25">
      <c r="A8" s="3" t="s">
        <v>23</v>
      </c>
      <c r="B8" s="3">
        <f>SUM(B3:B7)</f>
        <v>20</v>
      </c>
      <c r="C8" s="3">
        <f>SUM(C3:C7)</f>
        <v>20</v>
      </c>
      <c r="D8" s="3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_lists</vt:lpstr>
      <vt:lpstr>Día 1</vt:lpstr>
      <vt:lpstr>Día 2</vt:lpstr>
      <vt:lpstr>Día 3</vt:lpstr>
      <vt:lpstr>Día 4</vt:lpstr>
      <vt:lpstr>Día 5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PC_WIN11</cp:lastModifiedBy>
  <dcterms:created xsi:type="dcterms:W3CDTF">2025-10-27T01:46:33Z</dcterms:created>
  <dcterms:modified xsi:type="dcterms:W3CDTF">2025-10-27T05:49:52Z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2025-10-27T01:47:39Z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d580e4e5-c2fc-42f6-a027-e30748f14fce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